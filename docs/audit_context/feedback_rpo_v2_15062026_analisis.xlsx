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rpo v2 15062026" sheetId="1" state="visible" r:id="rId1"/>
    <sheet xmlns:r="http://schemas.openxmlformats.org/officeDocument/2006/relationships" name="Ringkasa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font>
  </fonts>
  <fills count="6">
    <fill>
      <patternFill/>
    </fill>
    <fill>
      <patternFill patternType="gray125"/>
    </fill>
    <fill>
      <patternFill patternType="solid">
        <fgColor rgb="001F4E78"/>
      </patternFill>
    </fill>
    <fill>
      <patternFill patternType="solid">
        <fgColor rgb="00FCE4E4"/>
      </patternFill>
    </fill>
    <fill>
      <patternFill patternType="solid">
        <fgColor rgb="00E4F6E4"/>
      </patternFill>
    </fill>
    <fill>
      <patternFill patternType="solid">
        <fgColor rgb="00FFE8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12" customWidth="1" min="3" max="3"/>
    <col width="14" customWidth="1" min="4" max="4"/>
    <col width="50" customWidth="1" min="5" max="5"/>
    <col width="30" customWidth="1" min="6" max="6"/>
    <col width="75" customWidth="1" min="7" max="7"/>
    <col width="42" customWidth="1" min="8" max="8"/>
  </cols>
  <sheetData>
    <row r="1" ht="42" customHeight="1">
      <c r="A1" s="1" t="inlineStr">
        <is>
          <t>No</t>
        </is>
      </c>
      <c r="B1" s="1" t="inlineStr">
        <is>
          <t>Pertanyaan yang diajukan</t>
        </is>
      </c>
      <c r="C1" s="1" t="inlineStr">
        <is>
          <t>Platform (Web atau WABA)</t>
        </is>
      </c>
      <c r="D1" s="1" t="inlineStr">
        <is>
          <t>Aspek Harapan</t>
        </is>
      </c>
      <c r="E1" s="1" t="inlineStr">
        <is>
          <t>Jawaban yang diberikan AI (KeyCenter) [live 15 Jun 2026]</t>
        </is>
      </c>
      <c r="F1" s="1" t="inlineStr">
        <is>
          <t>Feedback</t>
        </is>
      </c>
      <c r="G1" s="1" t="inlineStr">
        <is>
          <t>Testing oleh CBN [test 19 Jun 2026 - jawaban utuh]</t>
        </is>
      </c>
      <c r="H1" s="1" t="inlineStr">
        <is>
          <t>Hipotesa (mengapa masih fail)</t>
        </is>
      </c>
    </row>
    <row r="2" ht="401" customHeight="1">
      <c r="A2" s="2" t="inlineStr">
        <is>
          <t>1</t>
        </is>
      </c>
      <c r="B2" s="3" t="inlineStr">
        <is>
          <t>berapa NIE yang terbit selama bulan Mei 2026?</t>
        </is>
      </c>
      <c r="C2" s="3" t="inlineStr">
        <is>
          <t>Web</t>
        </is>
      </c>
      <c r="D2" s="3" t="inlineStr"/>
      <c r="E2" s="3" t="inlineStr">
        <is>
          <t>Berdasarkan data pendaftaran pangan olahan (ERBA), terdapat 1.099 NIE dengan kategori Risiko Menengah Rendah yang terbit selama bulan Mei 2026. Jika dibandingkan dengan total seluruh kategori risiko pada periode yang sama, berikut adalah rinciannya:
Kategori Risiko        Jumlah NIE (Mei 2026)
Risiko Menengah Rendah        1.099
Risiko Menengah Tinggi        425
Risiko Tinggi        114
Total        1.638
Keterangan:        
Data bersumber dari sistem ERBA (sistem utama tahun 2026).
Angka ini mencakup pendaftaran produk baru dan notifikasi yang telah mendapatkan izin edar aktif. Conversation Ledger:
Active scope: entity=NIE · system=ERBA · year=2026 · month=Mei
Established facts:
1.099 = NIE Risiko Menengah Rendah terbit Mei 2026 (ERBA)
1.638 = Total seluruh NIE (semua risiko) terbit Mei 2026 (ERBA)</t>
        </is>
      </c>
      <c r="F2" s="3" t="inlineStr">
        <is>
          <t>Jawabannnya kurang sesuai karena risiko tinggi selisihnya jauh</t>
        </is>
      </c>
      <c r="G2" s="4">
        <f>== HASIL TEST 19 Jun 2026 (EXACT MATCH) ===
Skenario   : UAT-MEI26-RISK-1  [FAIL]
Prompt test: Berapa NIE yang terbit selama bulan Mei 2026 per kategori risiko?
Catatan DB : UAT-MEI26-RISK-1 — ERBA Mei 2026: MR=1.335, MT=165, Tinggi=3.298, Tinggi Notifikasi=296.
--- JAWABAN UTUH SISTEM (verbatim, tanpa pemotongan) ---
Sebanyak **3.775 NIE** diterbitkan selama bulan Mei 2026. Berikut adalah rincian berdasarkan kategori risiko:
| Kategori Risiko | Jumlah NIE |
| :--- | :--- |
| Risiko Tinggi | 2.301 |
| Risiko Menengah Rendah | 1.099 |
| Risiko Tinggi Notifikasi | 228 |
| Risiko Menengah Tinggi | 147 |
| **Total** | **3.775** |
**Catatan Analisis:**
- **Lingkup Data:** Data diambil dari sistem ERBA (2026) dengan memfilter jenis permohonan baru dan notifikasi (kode 301 dan 305).
- **Validasi:** Seluruh data yang ditampilkan memiliki status Izin Edar aktif/berlaku dan telah mengecualikan akun uji coba internal.
- **Dominasi:** Produk dengan Risiko Tinggi merupakan kontributor terbesar (sekitar 61% dari total terbit) pada periode tersebut.
```sql
-- Query yang digunakan (ERBA)
SELECT
  'Risiko ' || COALESCE(dd.deskripsi, p.kategori_dokumen) AS kategori_risiko,
  COUNT(DISTINCT p.nomor) AS jumlah_nie
FROM warehouse.public.t_produk_3_erba p
LEFT JOIN warehouse.public.data_dictionary dd
  ON dd.kategori = 'KATEGORI_DOKUMEN'
  AND dd.sumber IN ('ERBA', 'ERBA dan ERLA', 'ERLA dan ERBA')
  AND dd.kode = p.kategori_dokumen
WHERE p.tanggal::timestamp &gt;= '2026-05-01' AND p.tanggal::timestamp &lt; '2026-06-01'
  AND p.status IN ('0999', '0906', '9999')
  AND p.jenis_permohonan IN ('301', '305')
  AND p.trader_id::bigint NOT IN (5, 17, 50, 85)
GROUP BY 1
ORDER BY 2 DESC;
```
**Conversation Ledger:**
- Active scope: entity=NIE · system=ERBA · year=2026 · month=05
- Established facts:
  - 3.775 = Total NIE terbit Mei 2026 (from: ERBA filtered by date &amp; status)
  - 2.301 = Risiko Tinggi
  - 1.099 = Risiko Menengah Rendah
  - 228 = Risiko Tinggi Notifikasi
  - 147 = Risiko Menengah Tinggi</f>
        <v/>
      </c>
      <c r="H2" s="3" t="inlineStr">
        <is>
          <t>Class A/G — ambiguitas definisi 'terbit' (status valid saja vs semua) + filter jenis_permohonan tak terkunci konsisten; angka berbeda antar run (DB: MR=1.335, MT=165, Tinggi=3.298).</t>
        </is>
      </c>
    </row>
    <row r="3" ht="438" customHeight="1">
      <c r="A3" s="2" t="inlineStr">
        <is>
          <t>2</t>
        </is>
      </c>
      <c r="B3" s="3" t="inlineStr">
        <is>
          <t>Kita ambil data ereg RBA saja. Tampilkan jumlah persetujuan produk AMDK pada tahun 2024 sampai 2025</t>
        </is>
      </c>
      <c r="C3" s="3" t="inlineStr">
        <is>
          <t>Web</t>
        </is>
      </c>
      <c r="D3" s="3" t="inlineStr"/>
      <c r="E3" s="3" t="inlineStr">
        <is>
          <t>Jumlah persetujuan produk (NIE) untuk kategori AMDK pada sistem ERBA (RBA) untuk periode 2024–2025 adalah sebagai berikut:
Tahun	Jumlah NIE
2024	2.208
2025	1.952
Total	4.160
Catatan:	
Data ini difilter khusus untuk sistem ERBA menggunakan kode jenis pangan '1401' (AMDK).
Jumlah di atas mencakup pendaftaran baru dan notifikasi yang telah mendapatkan nomor izin edar (status disetujui).</t>
        </is>
      </c>
      <c r="F3" s="3" t="inlineStr">
        <is>
          <t>Database 2024 = 2667 = NIE AMDK ERBA 2024
Database 2025 = 2533 = NIE AMDK ERBA 2025
Gap diatas 5%</t>
        </is>
      </c>
      <c r="G3" s="5">
        <f>== HASIL TEST 19 Jun 2026 (EXACT MATCH) ===
Skenario   : UAT-AMDK-3  [PASS]
Prompt test: Tampilkan jumlah persetujuan produk AMDK pada tahun 2024 sampai 2025 dari database ereg RBA dan ereg lama
Catatan DB : UAT-AMDK-3 — ERBA+ERLA gabungan: 2024=2.514 (ERBA 2.301+ERLA 213), 2025=2.140 (ERBA 2.049+ERLA 91).
--- JAWABAN UTUH SISTEM (verbatim, tanpa pemotongan) ---
Berikut adalah jumlah persetujuan produk (NIE) AMDK pada tahun 2024 dan 2025 dari sistem ereg RBA (ERBA) dan ereg lama (ERLA):
| Tahun | ereg RBA (ERBA) | ereg Lama (ERLA) | Total Per Tahun |
| :--- | :--- | :--- | :--- |
| 2024 | 2.301 | 213 | 2.514 |
| 2025 | 2.049 | 91 | 2.140 |
| **Total (Distinct)** | **4.350** | **304** | **4.544** |
**Catatan Data:**
- **Total (Distinct):** Angka 4.544 adalah jumlah unik nomor izin edar di seluruh periode. Total ini lebih kecil dari penjumlahan baris karena terdapat beberapa nomor yang muncul di kedua tahun atau sistem (misalnya karena pembaruan data).
- **Sistem:** Mayoritas persetujuan saat ini diproses melalui ereg RBA (ERBA), sementara ereg lama (ERLA) masih mencatat sejumlah kecil data transisi atau pembaruan historis.
- **Filter:** Data mencakup produk AMDK (Air Minum Dalam Kemasan) dengan status aktif/terbit, mengecualikan akun uji coba.
```sql
-- Query yang digunakan
WITH union_data AS (
  SELECT 'ERBA' AS sistem, DATE_TRUNC('year', CAST(NULLIF(TRIM(tanggal), '') AS TIMESTAMP)) AS tahun, nomor
  FROM warehouse.public.t_produk_3_erba
  WHERE jenis_pangan = '1401' AND status IN ('0999', '0906', '9999')
    AND CAST(NULLIF(TRIM(trader_id), '') AS BIGINT) NOT IN (5, 17, 50, 85)
    AND CAST(NULLIF(TRIM(tanggal), '') AS TIMESTAMP) &gt;= '2024-01-01'
    AND CAST(NULLIF(TRIM(tanggal), '') AS TIMESTAMP) &lt; '2026-01-01'
  UNION ALL
  SELECT 'ERLA' AS sistem, DATE_TRUNC('year', tanggal) AS tahun, nomor
  FROM warehouse.public.t_produk_3_rilis_erla
  WHERE jenis_pangan IN ('651', '652', '655') AND status IN ('0099', '0999', '0906', '9999')
    AND trader_id != 3384
    AND tanggal &gt;= '2024-01-01' AND tanggal &lt; '2026-01-01'
)
SELECT EXTRACT(YEAR FROM tahun) AS tahun, sistem, COUNT(DISTINCT nomor) AS jumlah_nie
FROM union_data GROUP BY 1, 2 ORDER BY 1, 2;
```</f>
        <v/>
      </c>
      <c r="H3" s="3" t="inlineStr">
        <is>
          <t>Harness FALSE-PASS — ekspektasi test tak validasi angka eksak; plus drift definisi 'persetujuan'. DB sebenarnya 2024=2.667, 2025=2.533 (gap &gt;5%).</t>
        </is>
      </c>
    </row>
    <row r="4" ht="166" customHeight="1">
      <c r="A4" s="2" t="inlineStr">
        <is>
          <t>3</t>
        </is>
      </c>
      <c r="B4" s="3" t="inlineStr">
        <is>
          <t>berapa jumlah NIE yang terbit di tahun 2025 di aplikasi ereg RBA</t>
        </is>
      </c>
      <c r="C4" s="3" t="inlineStr">
        <is>
          <t>Web</t>
        </is>
      </c>
      <c r="D4" s="3" t="inlineStr"/>
      <c r="E4" s="3" t="inlineStr">
        <is>
          <t>Jumlah total NIE yang terbit di tahun 2025 melalui aplikasi e-Reg RBA (ERBA) adalah 53.844 NIE. Berikut adalah rincian berdasarkan kategori risiko:
Kategori Risiko	Jumlah NIE (2025)
Risiko Tinggi (Tinggi &amp; Notifikasi)	34.258
Risiko Menengah Tinggi	3.856
Risiko Menengah Rendah	15.730
Total	53.844
Conversation Ledger:	
Active scope: entity=NIE · system=ERBA · year=2025
Established facts:
53.844 = Total NIE terbit di sistem ERBA selama tahun 2025.</t>
        </is>
      </c>
      <c r="F4" s="3" t="inlineStr">
        <is>
          <t>Jumlahnya masih tidak sesuai dengan hasil semestinya
Jumlah NIE 2025 (baru ) : 49.129</t>
        </is>
      </c>
      <c r="G4" s="4">
        <f>== HASIL TEST 19 Jun 2026 (EXACT MATCH) ===
Skenario   : UAT-NIE25-2  [FAIL]
Prompt test: Berapa NIE yang terbit di tahun 2025 untuk aplikasi ereg RBA?
Catatan DB : UAT-NIE25-2 — ERBA 2025, status valid, no JP filter = 53.535. "ereg RBA" = ERBA.
--- JAWABAN UTUH SISTEM (verbatim, tanpa pemotongan) ---
Berdasarkan data dari sistem ereg RBA (ERBA), jumlah NIE yang terbit selama tahun 2025 adalah sebagai berikut:
| Tahun | Jumlah NIE |
| :--- | :--- |
| 2025 | 45.147 |
| **Total** | **45.147** |
**Catatan scope data:**
- **Entity:** NIE (Nomor Izin Edar) dihitung berdasarkan `COUNT(DISTINCT nomor)`.
- **Sistem:** ereg RBA (`t_produk_3_erba`).
- **Filter:** Mencakup status valid (`0999`, `0906`, `9999`) dan jenis permohonan baru (`301`, `305`).
- **Eksklusi:** Akun uji coba (internal) telah dikeluarkan dari perhitungan.</f>
        <v/>
      </c>
      <c r="H4" s="3" t="inlineStr">
        <is>
          <t>Class A — filter jenis_permohonan &amp; status tak terkunci; pemetaan 'ereg RBA'-&gt;ERBA tidak konsisten antar run (live=53.844, DB=49.129).</t>
        </is>
      </c>
    </row>
    <row r="5" ht="358" customHeight="1">
      <c r="A5" s="2" t="inlineStr">
        <is>
          <t>4</t>
        </is>
      </c>
      <c r="B5" s="3" t="inlineStr">
        <is>
          <t>Berapa jumlah produk MR yang dibatalkan sampai dengan tahun 2026</t>
        </is>
      </c>
      <c r="C5" s="3" t="inlineStr">
        <is>
          <t>Web</t>
        </is>
      </c>
      <c r="D5" s="3" t="inlineStr"/>
      <c r="E5" s="3" t="inlineStr">
        <is>
          <t>Jumlah produk dengan risiko Menengah Rendah (MR) yang dibatalkan (khususnya pembatalan komitmen pada sistem RBA) sampai dengan tahun 2026 adalah sebanyak 254 produk. Berikut adalah rincian jumlah pembatalan per tahun:
Tahun	Jumlah Produk MR Dibatalkan
2023	2
2024	208
2025	38
2026	6
Total	254
Keterangan:	
Lingkup Data: Data ini mencakup produk MR (kategori_dokumen = '303') pada sistem ERBA (RBA) yang telah mendapatkan Nomor Izin Edar (NIE) namun kemudian status komitmennya dinyatakan Dibatalkan (status_komitmen = '5').
Tahun: Berdasarkan tanggal terbit NIE (tanggal). Pembatalan komitmen terbanyak tercatat pada produk yang terbit di tahun 2024.
Sistem: Fitur pelacakan pembatalan komitmen ini merupakan bagian dari mekanisme pengawasan berbasis risiko yang diterapkan pada sistem baru (RBA).</t>
        </is>
      </c>
      <c r="F5" s="3" t="inlineStr">
        <is>
          <t>- Laporan kegiatan MR = 5157
- Perlu klarifikasi terkait data yang tersedia pada data mart</t>
        </is>
      </c>
      <c r="G5" s="4">
        <f>== HASIL TEST 19 Jun 2026 (EXACT MATCH) ===
Skenario   : UAT-COM-1  [FAIL]
Prompt test: Berapa jumlah produk MR yang dibatalkan komitmennya sampai dengan tahun 2026?
Catatan DB : UAT-COM-1 — RC-4 Case B. status_komitmen=5 (Komitmen Dibatalkan), tanpa filter status NIE. 5.198 vs 254 (salah, Case A dengan NIE filter).
--- JAWABAN UTUH SISTEM (verbatim, tanpa pemotongan) ---
Hingga Juni 2026, tercatat sebanyak **5.215** produk dengan tingkat risiko Menengah Rendah (MR) yang dibatalkan komitmennya. Berikut adalah rincian jumlah pembatalan per tahun berdasarkan tanggal pembayaran permohonan:
| Tahun | Jumlah Produk MR Dibatalkan |
| :--- | :--- |
| 2022 | 197 |
| 2023 | 2.508 |
| 2024 | 2.205 |
| 2025 | 288 |
| 2026 | 17 |
| **Total** | **5.215** |
**Catatan Analisis:**
- **Metode Perhitungan:** Menggunakan `COUNT(DISTINCT produk_id)` dari sistem ERBA (satu-satunya sistem yang memiliki fitur komitmen).
- **Scope Data:** Angka ini mencakup seluruh siklus permohonan MR yang mendapatkan status **"Komitmen Dibatalkan"** (Kode: 5), baik yang sudah memiliki NIE maupun yang dibatalkan selama proses verifikasi.
- **Filter Risiko:** Khusus untuk produk dengan `kategori_dokumen` Risiko Menengah Rendah (MR).
- **Status 2026:** Data tahun 2026 mencakup permohonan hingga 19 Juni 2026.
```sql
SELECT 
    date_trunc('year', CAST(tanggal_bayar AS TIMESTAMP)) as tahun,
    COUNT(DISTINCT produk_id) as jumlah
FROM warehouse.public.t_produk_3_erba
WHERE kategori_dokumen = '303'
  AND ROUND(CAST(status_komitmen AS NUMERIC))::INT::TEXT = '5'
  AND CAST(trader_id AS BIGINT) NOT IN (5, 17, 50, 85)
  AND tanggal_bayar IS NOT NULL AND tanggal_bayar != ''
  AND CAST(tanggal_bayar AS TIMESTAMP) &gt;= '2000-01-01' 
  AND CAST(tanggal_bayar AS TIMESTAMP) &lt; '2030-01-01'
GROUP BY 1
ORDER BY 1;
```</f>
        <v/>
      </c>
      <c r="H5" s="3" t="inlineStr">
        <is>
          <t>Class D — kebingungan Case A (dgn filter NIE -&gt; 254 di live) vs Case B (5.198/5.215 di test); sistem tak konsisten memilih cakupan 'dibatalkan'.</t>
        </is>
      </c>
    </row>
    <row r="6" ht="255" customHeight="1">
      <c r="A6" s="2" t="inlineStr">
        <is>
          <t>5</t>
        </is>
      </c>
      <c r="B6" s="3" t="inlineStr">
        <is>
          <t>berapa jumlah produk formula bayi yang telah memiliki izin edar</t>
        </is>
      </c>
      <c r="C6" s="3" t="inlineStr">
        <is>
          <t>WABA</t>
        </is>
      </c>
      <c r="D6" s="3" t="inlineStr"/>
      <c r="E6" s="3" t="inlineStr">
        <is>
          <t>Hingga 15 Juni 2026, total terdapat 784 produk formula bayi yang telah memiliki izin edar (NIE), dengan tren penerbitan izin tertinggi terjadi pada tahun 2020 sebanyak 243 produk, dan jumlah ini mencakup produk dari sistem lama maupun baru untuk menghindari penghitungan ganda.</t>
        </is>
      </c>
      <c r="F6" s="3" t="inlineStr"/>
      <c r="G6" s="4">
        <f>== HASIL TEST 19 Jun 2026 (EXACT MATCH) ===
Skenario   : UAT-BAYI-1  [FAIL]
Prompt test: berapa jumlah produk formula bayi yang telah memiliki izin edar
Catatan DB : UAT-BAYI-1 — ERBA 102 + ERLA 814 = 916. Perhatian: ERLA pakai kode 622/604/624, berbeda dari ERBA 1301/1302. Resolve via nama_kategori probe.
--- JAWABAN UTUH SISTEM (verbatim, tanpa pemotongan) ---
Total terdapat **94** produk formula bayi (termasuk kategori formula bayi padat, cair, dan bubuk) yang telah memiliki Izin Edar (NIE) berdasarkan data gabungan dari sistem ERBA dan ERLA.
Berikut adalah tren jumlah produk formula bayi yang mendapatkan izin edar per tahunnya:
| Tahun | Jumlah Produk (NIE) |
| :--- | :--- |
| 2015 | 13 |
| 2016 | 17 |
| 2017 | 16 |
| 2018 | 12 |
| 2019 | 5 |
| 2020 | 7 |
| 2021 | 3 |
| 2023 | 15 |
| 2024 | 15 |
| 2025 | 34 |
| 2026 | 11 |
| **Total** | **94** |
**Catatan:**
- Angka tahun 2023 dan 2024 merupakan gabungan data dari sistem lama (ERLA) dan sistem baru (ERBA).
- Total **94** adalah jumlah unik nomor izin edar secara keseluruhan (all-time), bukan penjumlahan dari angka per tahun (karena satu produk dapat muncul di beberapa tahun karena proses daftar ulang).
- Definisi produk formula bayi mencakup kategori Formula Bayi Padat/Bubuk dan Formula Bayi Cair.</f>
        <v/>
      </c>
      <c r="H6" s="3" t="inlineStr">
        <is>
          <t>Class E — pakai kode ERLA salah (seharusnya 622/604/624) vs ERBA 1301/1302 -&gt; hilang sebagian besar produk sistem lama (DB=916).</t>
        </is>
      </c>
    </row>
    <row r="7" ht="426" customHeight="1">
      <c r="A7" s="2" t="inlineStr">
        <is>
          <t>6</t>
        </is>
      </c>
      <c r="B7" s="3" t="inlineStr">
        <is>
          <t>apakah semua izin edar tersebut masih berlaku</t>
        </is>
      </c>
      <c r="C7" s="3" t="inlineStr">
        <is>
          <t>WABA</t>
        </is>
      </c>
      <c r="D7" s="3" t="inlineStr"/>
      <c r="E7" s="3" t="inlineStr">
        <is>
          <t>Dari total 784 produk formula bayi yang pernah diterbitkan izin edarnya, saat ini hanya 267 produk atau 34% yang izin edarnya masih berlaku, sementara 536 produk lainnya atau 66% sudah kadaluarsa. Tingginya jumlah produk yang kadaluarsa sebagian besar disebabkan oleh izin edar yang diterbitkan pada periode 2018-2021 yang belum melakukan perpanjangan, padahal izin edar pangan olahan umumnya berlaku selama 5 tahun.</t>
        </is>
      </c>
      <c r="F7" s="3" t="inlineStr"/>
      <c r="G7" s="4">
        <f>== HASIL TEST 19 Jun 2026 (EXACT MATCH) ===
Skenario   : UAT-BAYI-2  [FAIL]
Prompt test: apakah semua izin edar formula bayi tersebut masih berlaku? berapa yang masih aktif?
Catatan DB : UAT-BAYI-2 — aktif: ERBA 60 + ERLA 235 = 295 dari total 916. Filter: status valid AND (tanggal_exp &gt; NOW() OR NULL).
--- JAWABAN UTUH SISTEM (verbatim, tanpa pemotongan) ---
Berdasarkan data registrasi pangan olahan (RPO), tidak semua izin edar (NIE) Formula Bayi tersebut masih berlaku. Dari total **784** izin edar yang pernah diterbitkan, saat ini terdapat **267** izin edar yang masih aktif atau masih berlaku secara masa berlakunya.
Berikut adalah rincian status keberlakuan izin edar Formula Bayi tersebut:
| Status Keberlakuan | Sistem ERBA | Sistem ERLA | Total NIE |
| :--- | :---: | :---: | :---: |
| **Masih Berlaku (Aktif)** | 60 | 207 | **267** |
| **Sudah Kedaluwarsa** | 0 | 517 | **517** |
| **Total NIE Terbit** | **60** | **724** | **784** |
**Hal-hal yang perlu diperhatikan:**
- **Masa Berlaku:** Izin edar (NIE) umumnya berlaku selama 5 tahun. Angka "Masih Berlaku" dihitung berdasarkan `tanggal_exp` yang masih di masa depan per hari ini (19 Juni 2026).
- **Distribusi Sistem:** 
    - Seluruh **60** NIE dari sistem **ERBA** (sistem baru 2022+) masih berlaku karena masa aktifnya rata-rata berakhir di tahun 2027 ke atas.
    - Sebagian besar izin edar yang sudah kedaluwarsa (**517** NIE) berasal dari sistem **ERLA** (sistem lama), yang mencakup data historis sejak tahun 2012.
- **Kategori Produk:** Data ini mencakup produk yang teridentifikasi sebagai Formula Bayi (Padat, Cair, maupun Bubuk) di kedua sistem.
**Conversation Ledger:**
- **Active scope:** entity=NIE · system=UNION · year=ALL-TIME · segment=Formula Bayi
- **Established facts:**
    - 784 = Total NIE terbit Formula Bayi (all-time)
    - 267 = Total NIE Formula Bayi yang masih aktif/berlaku (tanggal_exp &gt; 2026-06-19)
    - 517 = Total NIE Formula Bayi yang sudah kedaluwarsa (tanggal_exp &lt;= 2026-06-19)
    - 60 = NIE Formula Bayi di sistem ERBA (100% masih berlaku)
    - 724 = NIE Formula Bayi di sistem ERLA (207 berlaku, 517 kedaluwarsa)</f>
        <v/>
      </c>
      <c r="H7" s="3" t="inlineStr">
        <is>
          <t>Class B/E — filter tanggal_exp &amp; status lifecycle tak tepat + kode ERLA salah warisan dari Q5 (DB aktif=295 dari 916).</t>
        </is>
      </c>
    </row>
    <row r="8" ht="453" customHeight="1">
      <c r="A8" s="2" t="inlineStr">
        <is>
          <t>7</t>
        </is>
      </c>
      <c r="B8" s="3" t="inlineStr">
        <is>
          <t>jadi secara total ada berapa produk formula bayi yang telah memiliki izin edar dan masih berlaku</t>
        </is>
      </c>
      <c r="C8" s="3" t="inlineStr">
        <is>
          <t>WABA</t>
        </is>
      </c>
      <c r="D8" s="3" t="inlineStr"/>
      <c r="E8" s="3" t="inlineStr">
        <is>
          <t>Saat ini, terdapat 267 produk formula bayi yang memiliki izin edar (NIE) dan masih berlaku per tanggal 15 Juni 2026, dari total 784 produk yang pernah mendapatkan izin edar, dengan sisa 517 produk lainnya telah habis masa berlakunya atau kadaluarsa.</t>
        </is>
      </c>
      <c r="F8" s="3" t="inlineStr"/>
      <c r="G8" s="6">
        <f>== HASIL TEST 19 Jun 2026 [MIRIP TERDEKAT - bukan exact match] ===
Catatan: pertanyaan ini tidak punya skenario test persis; dibawah ini jawaban dari skenario test yang paling mirip.
Skenario   : UAT-BAYI-2  [FAIL]
Prompt test: apakah semua izin edar formula bayi tersebut masih berlaku? berapa yang masih aktif?
Catatan DB : UAT-BAYI-2 — aktif: ERBA 60 + ERLA 235 = 295 dari total 916. Filter: status valid AND (tanggal_exp &gt; NOW() OR NULL).
--- JAWABAN UTUH SISTEM (verbatim, tanpa pemotongan) ---
Berdasarkan data registrasi pangan olahan (RPO), tidak semua izin edar (NIE) Formula Bayi tersebut masih berlaku. Dari total **784** izin edar yang pernah diterbitkan, saat ini terdapat **267** izin edar yang masih aktif atau masih berlaku secara masa berlakunya.
Berikut adalah rincian status keberlakuan izin edar Formula Bayi tersebut:
| Status Keberlakuan | Sistem ERBA | Sistem ERLA | Total NIE |
| :--- | :---: | :---: | :---: |
| **Masih Berlaku (Aktif)** | 60 | 207 | **267** |
| **Sudah Kedaluwarsa** | 0 | 517 | **517** |
| **Total NIE Terbit** | **60** | **724** | **784** |
**Hal-hal yang perlu diperhatikan:**
- **Masa Berlaku:** Izin edar (NIE) umumnya berlaku selama 5 tahun. Angka "Masih Berlaku" dihitung berdasarkan `tanggal_exp` yang masih di masa depan per hari ini (19 Juni 2026).
- **Distribusi Sistem:** 
    - Seluruh **60** NIE dari sistem **ERBA** (sistem baru 2022+) masih berlaku karena masa aktifnya rata-rata berakhir di tahun 2027 ke atas.
    - Sebagian besar izin edar yang sudah kedaluwarsa (**517** NIE) berasal dari sistem **ERLA** (sistem lama), yang mencakup data historis sejak tahun 2012.
- **Kategori Produk:** Data ini mencakup produk yang teridentifikasi sebagai Formula Bayi (Padat, Cair, maupun Bubuk) di kedua sistem.
**Conversation Ledger:**
- **Active scope:** entity=NIE · system=UNION · year=ALL-TIME · segment=Formula Bayi
- **Established facts:**
    - 784 = Total NIE terbit Formula Bayi (all-time)
    - 267 = Total NIE Formula Bayi yang masih aktif/berlaku (tanggal_exp &gt; 2026-06-19)
    - 517 = Total NIE Formula Bayi yang sudah kedaluwarsa (tanggal_exp &lt;= 2026-06-19)
    - 60 = NIE Formula Bayi di sistem ERBA (100% masih berlaku)
    - 724 = NIE Formula Bayi di sistem ERLA (207 berlaku, 517 kedaluwarsa)</f>
        <v/>
      </c>
      <c r="H8" s="3" t="inlineStr">
        <is>
          <t>[mirip] Class B/E — pertanyaan kombinasi 'total AND aktif' tak punya skenario persis; mirip UAT-BAYI-2. Angka 267 (test) vs 295 (DB) menunjukkan filter aktif tak stabil.</t>
        </is>
      </c>
    </row>
    <row r="9" ht="433" customHeight="1">
      <c r="A9" s="2" t="inlineStr">
        <is>
          <t>8</t>
        </is>
      </c>
      <c r="B9" s="3" t="inlineStr">
        <is>
          <t>berikan rincian jumlahnya untuk di sistem lama dan sistem baru</t>
        </is>
      </c>
      <c r="C9" s="3" t="inlineStr">
        <is>
          <t>WABA</t>
        </is>
      </c>
      <c r="D9" s="3" t="inlineStr"/>
      <c r="E9" s="3" t="inlineStr">
        <is>
          <t>Per 15 Juni 2026, terdapat total 267 Izin Edar (NIE) produk formula bayi yang masih berlaku, di mana 60 NIE berasal dari sistem pendaftaran baru (ERBA) dan 207 NIE berasal dari sistem lama (ERLA), dengan mayoritas izin edar yang masih berlaku berasal dari sistem lama karena masa berlaku izin edar yang mencapai 5 tahun.</t>
        </is>
      </c>
      <c r="F9" s="3" t="inlineStr"/>
      <c r="G9" s="6">
        <f>== HASIL TEST 19 Jun 2026 [MIRIP TERDEKAT - bukan exact match] ===
Catatan: pertanyaan ini tidak punya skenario test persis; dibawah ini jawaban dari skenario test yang paling mirip.
Skenario   : CAP-8  [PASS]
Prompt test: Bandingkan jumlah NIE risiko tinggi antara sistem ERBA dan ERLA
Catatan DB : CAP-8 — ERBA risiko tinggi = kategori_dokumen IN (301,304). ERLA risiko tinggi = jenis_dokumen=302. BUKAN jenis_dokumen=301 (itu Low Risk di ERLA).
--- JAWABAN UTUH SISTEM (verbatim, tanpa pemotongan) ---
Perbandingan jumlah Nomor Izin Edar (NIE) dengan **Risiko Tinggi** antara sistem ERBA dan ERLA menunjukkan dominasi volume yang signifikan pada sistem ERBA sebagai sistem utama saat ini.
### Statistik NIE Risiko Tinggi (All-Time)
| Tahun | ERLA (Sistem Lama) | ERBA (Sistem Baru) | Total NIE |
| :--- | :---: | :---: | :---: |
| 2014 - 2016 | 2.413 | - | 2.413 |
| 2017 | 17.522 | - | 17.522 |
| 2018 - 2021 | 12.105 | - | 12.105 |
| 2022 | 3.964 | 157 | 4.121 |
| 2023 | 724 | 17.530 | 18.254 |
| 2024 | 489 | 30.225 | 30.714 |
| 2025 | 212 | 32.367 | 32.579 |
| 2026 (YTD) | 53 | 14.414 | 14.467 |
| **Total** | **22.602** | **80.722** | **103.324** |
### Analisis Perbandingan
*   **Volume Kumulatif**: Sistem ERBA mengelola jumlah produk Risiko Tinggi hampir **4 kali lipat** lebih banyak dibandingkan total historis di sistem ERLA (80.722 vs 22.602).
*   **Transisi Sistem**: Peralihan operasional terlihat jelas pada tahun 2023, di mana volume ERBA melonjak menjadi 17.530 NIE sementara ERLA turun drastis di bawah 1.000 NIE.
*   **Tren Pertumbuhan**: Di sistem ERBA, jumlah NIE Risiko Tinggi terus meningkat secara konsisten setiap tahun, mencapai puncaknya di angka 32.367 pada tahun 2025.
*   **Anomali Historis**: Terdapat lonjakan data di ERLA pada tahun 2017 (17.522 NIE) yang kemungkinan berkaitan dengan proses migrasi data atau pemutihan sistem lama sebelum transisi penuh.
**Catatan Teknis:**
- **ERBA**: Menggunakan filter `kategori_dokumen = '301'` (Tinggi).
- **ERLA**: Menggunakan filter `jenis_dokumen = '302'` (Pangan High Risk).
- Angka total merupakan *global distinct count* dari nomor izin edar yang valid di masing-masing sistem.</f>
        <v/>
      </c>
      <c r="H9" s="3" t="inlineStr">
        <is>
          <t>[mirip] Coverage gap — breakdown sistem lama/baru untuk entitas spesifik tak diuji; CAP-8 hanya bandingkan ERBA vs ERLA (agregat risiko tinggi). Beda: CAP-8 risiko tinggi, bukan formula bayi.</t>
        </is>
      </c>
    </row>
    <row r="10" ht="423" customHeight="1">
      <c r="A10" s="2" t="inlineStr">
        <is>
          <t>9</t>
        </is>
      </c>
      <c r="B10" s="3" t="inlineStr">
        <is>
          <t>apakah ada izin edar formula bayi yang dibatalkan</t>
        </is>
      </c>
      <c r="C10" s="3" t="inlineStr">
        <is>
          <t>WABA</t>
        </is>
      </c>
      <c r="D10" s="3" t="inlineStr"/>
      <c r="E10" s="3" t="inlineStr">
        <is>
          <t>Terdapat 10 izin edar produk formula bayi yang dibatalkan atau dicabut, semuanya tercatat pada Sistem Lama (ERLA), sementara Sistem Baru (ERBA) belum memiliki catatan pembatalan untuk kategori produk ini, dan status dibatalkan ini berbeda dengan kadaluarsa.</t>
        </is>
      </c>
      <c r="F10" s="3" t="inlineStr"/>
      <c r="G10" s="5">
        <f>== HASIL TEST 19 Jun 2026 (EXACT MATCH) ===
Skenario   : UAT-BAYI-DICABUT-1  [PASS]
Prompt test: apakah ada izin edar formula bayi yang dicabut atau dibatalkan BPOM?
Catatan DB : UAT-BAYI-DICABUT-1 — DB: tidak ada NIE formula bayi (ERBA kode 1301+1302, ERLA kode 622+604+624) dengan status dicabut/dibatalkan = 0. Dari UAT JSON: sistem sebelumnya bilang "10" (salah, itu kategori lain).
--- JAWABAN UTUH SISTEM (verbatim, tanpa pemotongan) ---
Berdasarkan data dari sistem **ERBA** dan **ERLA**, tidak ditemukan **Izin Edar (NIE)** untuk produk **Formula Bayi** yang memiliki status **Dicabut** atau **Dibatalkan** di dalam database.
Berikut adalah detail penelusuran yang dilakukan:
- **NIE Formula Bayi (Izin Terbit):** Tidak ada produk dengan kategori *Formula Bayi (Padat atau Cair)* yang tercatat dengan status pembatalan (`0000` atau `0009`).
- **Permohonan (Registrasi):** Ditemukan sekitar **12 permohonan** registrasi Formula Bayi di sistem ERBA yang berstatus **"Ditolak oleh Sistem"** (kode `0908` atau `0918`) selama proses pendaftaran. Produk-produk ini tidak pernah mencapai tahap penerbitan NIE.
- **Kategori Terkait (PKGK):** Pada kategori besar *Pangan untuk Keperluan Gizi Khusus (PKGK)*, terdapat 5 produk yang statusnya dibatalkan/dicabut, namun produk tersebut merupakan *Pangan Tambahan Olahragawan* dan *Formula Pertumbuhan (usia 1-3 tahun)*, bukan Formula Bayi.
**Ringkasan Status Kategori Formula Bayi (ERBA &amp; ERLA):**
| Status | Jumlah Produk (ERBA) | Keterangan |
| :--- | :--- | :--- |
| **NIE Aktif** | 91 | Termasuk status Selesai, Sudah Diubah, dan Perubahan Produk |
| **Ditolak Sistem** | 12 | Permohonan yang gagal saat proses registrasi |
| **Dicabut/Dibatalkan** | **0** | **Tidak ditemukan NIE yang dicabut/dibatalkan** |
**Catatan:**
Penelusuran mencakup sistem **ERBA** (2022-sekarang) dan **ERLA** (historis). Status "Dibatalkan" pada data registrasi biasanya merujuk pada hasil evaluasi komitmen atau pencabutan resmi oleh BPOM. Untuk kategori ini, seluruh NIE yang pernah terbit terpantau masih dalam status aktif atau telah diperbarui melalui proses perubahan data.</f>
        <v/>
      </c>
      <c r="H10" s="3" t="inlineStr">
        <is>
          <t>Sistem benar — tak ada error.</t>
        </is>
      </c>
    </row>
    <row r="11" ht="443" customHeight="1">
      <c r="A11" s="2" t="inlineStr">
        <is>
          <t>10</t>
        </is>
      </c>
      <c r="B11" s="3" t="inlineStr">
        <is>
          <t>apakah izin edar yang dicabut masih berlaku atau sudah kadaluarsa</t>
        </is>
      </c>
      <c r="C11" s="3" t="inlineStr">
        <is>
          <t>WABA</t>
        </is>
      </c>
      <c r="D11" s="3" t="inlineStr"/>
      <c r="E11" s="3" t="inlineStr">
        <is>
          <t>Sepuluh izin edar produk formula bayi yang dicabut secara teknis masih berlaku karena belum melewati masa kadaluarsanya, namun karena statusnya telah dibatalkan, nomor izin edar tersebut tidak dapat lagi digunakan untuk mengedarkan produk di pasar meskipun tanggal kadaluarsanya belum terlampaui.</t>
        </is>
      </c>
      <c r="F11" s="3" t="inlineStr"/>
      <c r="G11" s="4">
        <f>== HASIL TEST 19 Jun 2026 (EXACT MATCH) ===
Skenario   : UAT-DICABUT-1  [FAIL]
Prompt test: berapa izin edar yang sudah dicabut atau dibatalkan BPOM?
Catatan DB : UAT-DICABUT-1 — status=0009 (Dicabut/Dibatalkan) ERBA = 5.237. Berbeda dari Dihapus (0000=246). Dictionary: STATUS kode 0009.
--- JAWABAN UTUH SISTEM (verbatim, tanpa pemotongan) ---
Berdasarkan data dari sistem **ERBA** dan **ERLA**, total izin edar (NIE) yang sudah **dicabut atau dibatalkan** adalah sebanyak **7.101** produk.
Mayoritas pembatalan terjadi pada sistem ERBA (sejak akhir 2022), terutama yang berkaitan dengan pemenuhan komitmen pada produk risiko Menengah Rendah (MR). Berikut adalah rincian jumlah izin edar yang dicabut/dibatalkan berdasarkan tahun terbit produk:
| Tahun Terbit | ERLA (Legacy) | ERBA (Baru) | Total Izin Edar |
| :--- | :---: | :---: | :---: |
| 2018 | 134 | - | 134 |
| 2019 | 222 | - | 222 |
| 2020 | 319 | - | 319 |
| 2021 | 326 | - | 326 |
| 2022 | 185 | 186 | 371 |
| 2023 | 13 | 2.610 | 2.623 |
| 2024 | 4 | 2.332 | 2.336 |
| 2025 | 5 | 309 | 314 |
| Sebelum 2018 | 456 | - | 456 |
| **Total** | **1.664** | **5.437** | **7.101** |
**Catatan Analisis:**
- **Peningkatan di 2023–2024:** Lonjakan jumlah pembatalan pada sistem ERBA disebabkan oleh mekanisme *post-market* untuk produk Risiko Menengah Rendah (MR), di mana izin edar diterbitkan terlebih dahulu dan dapat dibatalkan jika komitmen tidak dipenuhi.
- **Definisi Status:** Data ini mencakup izin edar dengan status "Dicabut/Dibatalkan", "Dihapus/Dibatalkan", serta produk ERBA yang status komitmennya dinyatakan "Dibatalkan".
- **Tahun Terbit:** Statistik di atas dikelompokkan berdasarkan tahun produk tersebut pertama kali diterbitkan/didaftarkan, bukan tahun tanggal pencabutannya (karena tanggal pencabutan tidak tersedia secara eksplisit di kolom utama).
**Conversation Ledger Updated:**
- **Active scope:** entity=NIE · system=UNION ERBA+ERLA · year=ALL-TIME · status=DICABUT/DIBATALKAN
- **Established facts:**
    - 7.101 = Total izin edar (NIE) yang dicabut atau dibatalkan secara keseluruhan.
    - 5.437 = Jumlah pembatalan di sistem ERBA, didominasi oleh pembatalan komitmen MR.
    - 1.664 = Jumlah pembatalan di sistem legacy ERLA.</f>
        <v/>
      </c>
      <c r="H11" s="3" t="inlineStr">
        <is>
          <t>Class B — lifecycle status family tak dipisah: status 0009 (Dicabut=5.237) vs 0000 (Dihapus=246) vs status_komitmen=5 dilipat jadi satu -&gt; overcount.</t>
        </is>
      </c>
    </row>
    <row r="12" ht="434" customHeight="1">
      <c r="A12" s="2" t="inlineStr">
        <is>
          <t>11</t>
        </is>
      </c>
      <c r="B12" s="3" t="inlineStr">
        <is>
          <t>apakah tersedia keterangan alasan pencabutannya</t>
        </is>
      </c>
      <c r="C12" s="3" t="inlineStr">
        <is>
          <t>WABA</t>
        </is>
      </c>
      <c r="D12" s="3" t="inlineStr"/>
      <c r="E12" s="3" t="inlineStr">
        <is>
          <t>Berdasarkan data yang tersedia di sistem, tidak ditemukan keterangan alasan spesifik secara tertulis untuk pencabutan 10 izin edar formula bayi tersebut, karena kolom keterangan pada basis data RPO ERLA untuk 10 NIE formula bayi berstatus dibatalkan ini kosong. Secara umum, status "Dibatalkan" atau "Dicabut" dapat disebabkan oleh permohonan mandiri dari produsen, perubahan data signifikan yang memerlukan NIE baru, hasil pengawasan pasca-pasar, atau alasan administratif seperti koreksi data.</t>
        </is>
      </c>
      <c r="F12" s="3" t="inlineStr"/>
      <c r="G12" s="6">
        <f>== HASIL TEST 19 Jun 2026 [MIRIP TERDEKAT - bukan exact match] ===
Catatan: pertanyaan ini tidak punya skenario test persis; dibawah ini jawaban dari skenario test yang paling mirip.
Skenario   : CB-36  [PASS]
Prompt test: Alasan pembatalan terbanyak pada izin edar
Catatan DB : CB-36 — Expected: Alasan + jumlah terbanyak
--- JAWABAN UTUH SISTEM (verbatim, tanpa pemotongan) ---
Berdasarkan data sistem ERBA (e-Registration Baru), alasan pembatalan terbanyak pada izin edar—khususnya pada kategori **Risiko Menengah Rendah (MR)** melalui mekanisme pemenuhan komitmen—adalah ketidaksesuaian data kemasan atau pabrik.
Terdapat total **5.215 permohonan** yang status komitmennya dibatalkan (all-time). Satu permohonan dapat memiliki lebih dari satu alasan pembatalan.
Berikut adalah daftar alasan pembatalan izin edar (komitmen) terbanyak:
| Alasan Pembatalan | Jumlah Kejadian |
| :--- | :--- |
| Jenis Kemasan atau Data Pabrik yang dipilih tidak sesuai | 1.591 |
| Penggunaan bahan baku dan/atau BTP (belum diatur/dilarang/melebihi batas) | 1.058 |
| Kategori Pangan yang dipilih tidak sesuai | 1.036 |
| Pencantuman Peruntukan/Klaim/Organik pada nama produk atau label | 760 |
| Dokumen persyaratan/pendukung tidak diunggah (komposisi, label, dll) | 569 |
| Produk termasuk kategori Pangan Segar | 356 |
| Proses Pengolahan yang dipilih tidak sesuai | 287 |
| Dokumen persyaratan/pendukung tidak sesuai (GMP, komposisi, dll) | 277 |
| Rekomendasi hasil pengawasan | 6 |
**Catatan Analisis:**
- Data ini mencakup seluruh permohonan MR yang komitmennya dibatalkan sejak sistem ERBA diimplementasikan (akhir 2022).
- Alasan utama menunjukkan bahwa kesalahan pemilihan **Jenis Kemasan** dan **Data Pabrik** saat pendaftaran mandiri adalah faktor dominan pembatalan izin edar oleh sistem.
- Alasan terkait **Bahan Baku/BTP** dan **Kategori Pangan** juga menjadi penyebab signifikan yang menunjukkan perlunya akurasi input data teknis oleh pelaku usaha.
```
Ledger:
- Total pembatalan komitmen MR (ERBA) = 5.215 permohonan (All-time)
- Alasan terbanyak = Jenis Kemasan/Data Pabrik tidak sesuai (1.591 kejadian)
- Sumber data: t_produk_3_erba (status_komitmen = '5')
```</f>
        <v/>
      </c>
      <c r="H12" s="3" t="inlineStr">
        <is>
          <t>[mirip] Coverage gap — field keterangan/alasan per produk tak diuji; CB-36 hanya alasan pembatalan terbanyak (agregat). Beda: aggregate, bukan per-NIE spesifik.</t>
        </is>
      </c>
    </row>
    <row r="13" ht="450" customHeight="1">
      <c r="A13" s="2" t="inlineStr">
        <is>
          <t>12</t>
        </is>
      </c>
      <c r="B13" s="3" t="inlineStr">
        <is>
          <t>izin edar formula bayi yang dicabut dari perusahaan apa dan nama dagang apa</t>
        </is>
      </c>
      <c r="C13" s="3" t="inlineStr">
        <is>
          <t>WABA</t>
        </is>
      </c>
      <c r="D13" s="3" t="inlineStr"/>
      <c r="E13" s="3" t="inlineStr">
        <is>
          <t>Sepuluh izin edar produk makanan selingan anak usia 1-3 tahun dengan merk Gasol dari perusahaan GASOL PERTANIAN ORGANIK telah dibatalkan karena secara sistem masuk ke dalam kelompok kode jenis pangan yang beririsan dengan Formula (MP-ASI/Makanan Anak), dan ini spesifik untuk varian produk tepung organik/makanan selingan merk Gasol, bukan produk Susu Formula Bayi (0-6/12 bulan).</t>
        </is>
      </c>
      <c r="F13" s="3" t="inlineStr">
        <is>
          <t>data yang muncul bukan formula bayi, melainkan data makanan selingan</t>
        </is>
      </c>
      <c r="G13" s="6">
        <f>== HASIL TEST 19 Jun 2026 [MIRIP TERDEKAT - bukan exact match] ===
Catatan: pertanyaan ini tidak punya skenario test persis; dibawah ini jawaban dari skenario test yang paling mirip.
Skenario   : UAT-BAYI-DICABUT-1  [PASS]
Prompt test: apakah ada izin edar formula bayi yang dicabut atau dibatalkan BPOM?
Catatan DB : UAT-BAYI-DICABUT-1 — DB: tidak ada NIE formula bayi (ERBA kode 1301+1302, ERLA kode 622+604+624) dengan status dicabut/dibatalkan = 0. Dari UAT JSON: sistem sebelumnya bilang "10" (salah, itu kategori lain).
--- JAWABAN UTUH SISTEM (verbatim, tanpa pemotongan) ---
Berdasarkan data dari sistem **ERBA** dan **ERLA**, tidak ditemukan **Izin Edar (NIE)** untuk produk **Formula Bayi** yang memiliki status **Dicabut** atau **Dibatalkan** di dalam database.
Berikut adalah detail penelusuran yang dilakukan:
- **NIE Formula Bayi (Izin Terbit):** Tidak ada produk dengan kategori *Formula Bayi (Padat atau Cair)* yang tercatat dengan status pembatalan (`0000` atau `0009`).
- **Permohonan (Registrasi):** Ditemukan sekitar **12 permohonan** registrasi Formula Bayi di sistem ERBA yang berstatus **"Ditolak oleh Sistem"** (kode `0908` atau `0918`) selama proses pendaftaran. Produk-produk ini tidak pernah mencapai tahap penerbitan NIE.
- **Kategori Terkait (PKGK):** Pada kategori besar *Pangan untuk Keperluan Gizi Khusus (PKGK)*, terdapat 5 produk yang statusnya dibatalkan/dicabut, namun produk tersebut merupakan *Pangan Tambahan Olahragawan* dan *Formula Pertumbuhan (usia 1-3 tahun)*, bukan Formula Bayi.
**Ringkasan Status Kategori Formula Bayi (ERBA &amp; ERLA):**
| Status | Jumlah Produk (ERBA) | Keterangan |
| :--- | :--- | :--- |
| **NIE Aktif** | 91 | Termasuk status Selesai, Sudah Diubah, dan Perubahan Produk |
| **Ditolak Sistem** | 12 | Permohonan yang gagal saat proses registrasi |
| **Dicabut/Dibatalkan** | **0** | **Tidak ditemukan NIE yang dicabut/dibatalkan** |
**Catatan:**
Penelusuran mencakup sistem **ERBA** (2022-sekarang) dan **ERLA** (historis). Status "Dibatalkan" pada data registrasi biasanya merujuk pada hasil evaluasi komitmen atau pencabutan resmi oleh BPOM. Untuk kategori ini, seluruh NIE yang pernah terbit terpantau masih dalam status aktif atau telah diperbarui melalui proses perubahan data.</f>
        <v/>
      </c>
      <c r="H13" s="3" t="inlineStr">
        <is>
          <t>[mirip] Skenario hanya cek ada/tidak (=0), tak minta detail perusahaan/nama dagang. Live sempat salah keluarkan merk Gasol (makanan selingan, bukan formula bayi).</t>
        </is>
      </c>
    </row>
    <row r="14" ht="450" customHeight="1">
      <c r="A14" s="2" t="inlineStr">
        <is>
          <t>13</t>
        </is>
      </c>
      <c r="B14" s="3" t="inlineStr">
        <is>
          <t>yang saya maksud adalah produk formula bayi. untuk izin edar formula bayi yang dibatalkan, dari perusahaan apa dan nama dagangnya apa</t>
        </is>
      </c>
      <c r="C14" s="3" t="inlineStr">
        <is>
          <t>WABA</t>
        </is>
      </c>
      <c r="D14" s="3" t="inlineStr"/>
      <c r="E14" s="3" t="inlineStr">
        <is>
          <t>Berdasarkan pengecekan lebih spesifik terhadap data produk Formula Bayi, tidak ditemukan izin edar Formula Bayi yang dibatalkan atau dicabut, karena sepuluh izin edar yang sempat muncul di pencarian sebelumnya dengan status "Dibatalkan" ternyata adalah produk Makanan Selingan Organik merk Gasol yang mengalami kesalahan kategorisasi di sistem lama dan bukan merupakan susu formula bayi, sementara itu seluruh izin edar produk Formula Bayi yang pernah diterbitkan hingga saat ini berstatus Tetap Berlaku dan tidak ada yang dicabut oleh BPOM maupun atas permintaan perusahaan.</t>
        </is>
      </c>
      <c r="F14" s="3" t="inlineStr"/>
      <c r="G14" s="6">
        <f>== HASIL TEST 19 Jun 2026 [MIRIP TERDEKAT - bukan exact match] ===
Catatan: pertanyaan ini tidak punya skenario test persis; dibawah ini jawaban dari skenario test yang paling mirip.
Skenario   : UAT-BAYI-DICABUT-1  [PASS]
Prompt test: apakah ada izin edar formula bayi yang dicabut atau dibatalkan BPOM?
Catatan DB : UAT-BAYI-DICABUT-1 — DB: tidak ada NIE formula bayi (ERBA kode 1301+1302, ERLA kode 622+604+624) dengan status dicabut/dibatalkan = 0. Dari UAT JSON: sistem sebelumnya bilang "10" (salah, itu kategori lain).
--- JAWABAN UTUH SISTEM (verbatim, tanpa pemotongan) ---
Berdasarkan data dari sistem **ERBA** dan **ERLA**, tidak ditemukan **Izin Edar (NIE)** untuk produk **Formula Bayi** yang memiliki status **Dicabut** atau **Dibatalkan** di dalam database.
Berikut adalah detail penelusuran yang dilakukan:
- **NIE Formula Bayi (Izin Terbit):** Tidak ada produk dengan kategori *Formula Bayi (Padat atau Cair)* yang tercatat dengan status pembatalan (`0000` atau `0009`).
- **Permohonan (Registrasi):** Ditemukan sekitar **12 permohonan** registrasi Formula Bayi di sistem ERBA yang berstatus **"Ditolak oleh Sistem"** (kode `0908` atau `0918`) selama proses pendaftaran. Produk-produk ini tidak pernah mencapai tahap penerbitan NIE.
- **Kategori Terkait (PKGK):** Pada kategori besar *Pangan untuk Keperluan Gizi Khusus (PKGK)*, terdapat 5 produk yang statusnya dibatalkan/dicabut, namun produk tersebut merupakan *Pangan Tambahan Olahragawan* dan *Formula Pertumbuhan (usia 1-3 tahun)*, bukan Formula Bayi.
**Ringkasan Status Kategori Formula Bayi (ERBA &amp; ERLA):**
| Status | Jumlah Produk (ERBA) | Keterangan |
| :--- | :--- | :--- |
| **NIE Aktif** | 91 | Termasuk status Selesai, Sudah Diubah, dan Perubahan Produk |
| **Ditolak Sistem** | 12 | Permohonan yang gagal saat proses registrasi |
| **Dicabut/Dibatalkan** | **0** | **Tidak ditemukan NIE yang dicabut/dibatalkan** |
**Catatan:**
Penelusuran mencakup sistem **ERBA** (2022-sekarang) dan **ERLA** (historis). Status "Dibatalkan" pada data registrasi biasanya merujuk pada hasil evaluasi komitmen atau pencabutan resmi oleh BPOM. Untuk kategori ini, seluruh NIE yang pernah terbit terpantau masih dalam status aktif atau telah diperbarui melalui proses perubahan data.</f>
        <v/>
      </c>
      <c r="H14" s="3" t="inlineStr">
        <is>
          <t>[mirip] Coverage gap — turn klarifikasi multiturn ('bukan X, maksud saya Y') tak diuji; mirip UAT-BAYI-DICABUT-1. Sistem rentan salah kategori (Gasol/MP-ASI vs formula bayi).</t>
        </is>
      </c>
    </row>
    <row r="15" ht="335" customHeight="1">
      <c r="A15" s="2" t="inlineStr">
        <is>
          <t>14</t>
        </is>
      </c>
      <c r="B15" s="3" t="inlineStr">
        <is>
          <t>Dari 267 izin edar formula bayi yang masih berlaku, apakah semuanya adalah permohonan baru atau ada yang perubahan dan daftar ulang</t>
        </is>
      </c>
      <c r="C15" s="3" t="inlineStr">
        <is>
          <t>WABA</t>
        </is>
      </c>
      <c r="D15" s="3" t="inlineStr"/>
      <c r="E15" s="3" t="inlineStr">
        <is>
          <t>Dari 267 izin edar formula bayi yang masih berlaku, komposisinya terdiri dari 172 permohonan baru, 154 perubahan data, dan 78 daftar ulang, di mana total transaksi NIE aktif adalah 404.</t>
        </is>
      </c>
      <c r="F15" s="3" t="inlineStr"/>
      <c r="G15" s="5">
        <f>== HASIL TEST 19 Jun 2026 (EXACT MATCH) ===
Skenario   : UAT-BAYI-JP-BREAKDOWN-1  [PASS]
Prompt test: dari izin edar formula bayi yang masih berlaku, apakah semuanya permohonan baru atau ada yang perubahan dan daftar ulang?
Catatan DB : UAT-BAYI-JP-BREAKDOWN-1 — dari UAT JSON sesi nyata. Sistem harus bisa breakdown JP untuk entitas spesifik (formula bayi) yang aktif. Ada campuran baru, perubahan, daftar ulang.
--- JAWABAN UTUH SISTEM (verbatim, tanpa pemotongan) ---
Berdasarkan data izin edar (NIE) yang masih berlaku untuk produk **Formula Bayi** (Formula Bayi Padat dan Cair), tidak semuanya berasal dari permohonan baru. Sebagian besar memang permohonan baru, namun terdapat porsi yang signifikan untuk perubahan data dan daftar ulang.
Berikut adalah rincian jenis permohonan dari total **161 NIE** Formula Bayi yang aktif saat ini:
| Jenis Permohonan | Jumlah NIE | Persentase |
| :--- | :--- | :--- |
| **Permohonan Baru** (Baru &amp; Baru Notifikasi) | 94 | 58,4% |
| **Perubahan Data** (Mayor &amp; Minor) | 54 | 33,5% |
| **Daftar Ulang** | 13 | 8,1% |
| **Total** | **161** | **100%** |
**Detail Rincian:**
- **Permohonan Baru (94 NIE):** Terdiri dari 69 permohonan baru standar (301) dan 25 permohonan baru melalui jalur notifikasi (305).
- **Perubahan Data (54 NIE):** Mencakup 28 perubahan mayor (seperti perubahan formula atau bahan baku) dan 26 perubahan minor (seperti perubahan desain label atau alamat administratif).
- **Daftar Ulang (13 NIE):** Izin edar yang telah diperpanjang masa berlakunya setelah 5 tahun.
Data ini merupakan gabungan dari sistem ERBA (2023 ke atas) dan ERLA (data historis yang masih aktif) dengan filter status izin edar yang valid.</f>
        <v/>
      </c>
      <c r="H15" s="3" t="inlineStr">
        <is>
          <t>Sistem benar di test. Catatan: basis 161 vs 267 menunjukkan filter 'aktif' masih tak stabil antar run.</t>
        </is>
      </c>
    </row>
    <row r="16" ht="283" customHeight="1">
      <c r="A16" s="2" t="inlineStr">
        <is>
          <t>15</t>
        </is>
      </c>
      <c r="B16" s="3" t="inlineStr">
        <is>
          <t>apa bedanya data 267 dan 404 izin edar</t>
        </is>
      </c>
      <c r="C16" s="3" t="inlineStr">
        <is>
          <t>WABA</t>
        </is>
      </c>
      <c r="D16" s="3" t="inlineStr"/>
      <c r="E16" s="3" t="inlineStr">
        <is>
          <t>Perbedaan antara data 267 dan 404 terletak pada cara penghitungannya, di mana angka 267 mewakili jumlah riil Nomor Izin Edar (NIE) atau produk fisik yang legal beredar dan setiap nomor NIE dihitung satu kali, sedangkan angka 404 adalah jumlah total catatan riwayat administrasi dari produk-produk tersebut di database, yang bisa lebih besar karena satu produk dapat memiliki beberapa jenis riwayat transaksi seperti permohonan baru, perubahan desain label, atau daftar ulang. Dengan demikian, 267 menunjukkan jumlah produk unik, sementara 404 mencerminkan jumlah aktivitas birokrasi yang terkait dengan produk-produk tersebut.</t>
        </is>
      </c>
      <c r="F16" s="3" t="inlineStr"/>
      <c r="G16" s="6">
        <f>== HASIL TEST 19 Jun 2026 [MIRIP TERDEKAT - bukan exact match] ===
Catatan: pertanyaan ini tidak punya skenario test persis; dibawah ini jawaban dari skenario test yang paling mirip.
Skenario   : UAT-BAYI-1  [FAIL]
Prompt test: berapa jumlah produk formula bayi yang telah memiliki izin edar
Catatan DB : UAT-BAYI-1 — ERBA 102 + ERLA 814 = 916. Perhatian: ERLA pakai kode 622/604/624, berbeda dari ERBA 1301/1302. Resolve via nama_kategori probe.
--- JAWABAN UTUH SISTEM (verbatim, tanpa pemotongan) ---
Total terdapat **94** produk formula bayi (termasuk kategori formula bayi padat, cair, dan bubuk) yang telah memiliki Izin Edar (NIE) berdasarkan data gabungan dari sistem ERBA dan ERLA.
Berikut adalah tren jumlah produk formula bayi yang mendapatkan izin edar per tahunnya:
| Tahun | Jumlah Produk (NIE) |
| :--- | :--- |
| 2015 | 13 |
| 2016 | 17 |
| 2017 | 16 |
| 2018 | 12 |
| 2019 | 5 |
| 2020 | 7 |
| 2021 | 3 |
| 2023 | 15 |
| 2024 | 15 |
| 2025 | 34 |
| 2026 | 11 |
| **Total** | **94** |
**Catatan:**
- Angka tahun 2023 dan 2024 merupakan gabungan data dari sistem lama (ERLA) dan sistem baru (ERBA).
- Total **94** adalah jumlah unik nomor izin edar secara keseluruhan (all-time), bukan penjumlahan dari angka per tahun (karena satu produk dapat muncul di beberapa tahun karena proses daftar ulang).
- Definisi produk formula bayi mencakup kategori Formula Bayi Padat/Bubuk dan Formula Bayi Cair.</f>
        <v/>
      </c>
      <c r="H16" s="3" t="inlineStr">
        <is>
          <t>[mirip] Coverage gap — tak ada perintah soal beda 'NIE unik vs catatan transaksi'; mirip UAT-BAYI-1 yang menjelaskan jumlah unik vs penjumlahan per tahun.</t>
        </is>
      </c>
    </row>
    <row r="17" ht="219" customHeight="1">
      <c r="A17" s="2" t="inlineStr">
        <is>
          <t>16</t>
        </is>
      </c>
      <c r="B17" s="3" t="inlineStr">
        <is>
          <t>Berapa jumlah produk MR dengan status komitmen Validasi Pembatalan</t>
        </is>
      </c>
      <c r="C17" s="3" t="inlineStr">
        <is>
          <t>WEB</t>
        </is>
      </c>
      <c r="D17" s="3" t="inlineStr"/>
      <c r="E17" s="3" t="inlineStr">
        <is>
          <t>Jumlah produk dengan risiko Menengah Rendah (MR) yang saat ini berstatus Validasi Pembatalan pada sistem RBA adalah sebanyak 32 produk. Berikut adalah rinciannya berdasarkan tahun terbit NIE:
Tahun	Jumlah Produk MR (Validasi Pembatalan)
2023	1
2024	19
2025	12
Total	32
Keterangan:	
Status: Status Validasi Pembatalan (status_komitmen = '8') merupakan tahap transien di mana proses pembatalan sedang divalidasi dan belum bersifat final (belum sepenuhnya dibatalkan).
Lingkup: Data diambil dari sistem ERBA (RBA) sesuai dengan mekanisme pengawasan komitmen untuk produk Risiko Menengah Rendah.
Conversation Ledger:
Active scope: entity=NIE · system=ERBA · year=ALL-TIME · dimension=Risiko MR, Status Validasi Pembatalan
Established facts:
32 = Total NIE MR dengan status Validasi Pembatalan (All-Time)
19 = NIE MR dengan status Validasi Pembatalan pada tahun 2024</t>
        </is>
      </c>
      <c r="F17" s="3" t="inlineStr"/>
      <c r="G17" s="5">
        <f>== HASIL TEST 19 Jun 2026 (EXACT MATCH) ===
Skenario   : UAT-COM-2  [PASS]
Prompt test: Berapa jumlah produk MR dengan status komitmen Validasi Pembatalan?
Catatan DB : UAT-COM-2 — Case A: status_komitmen kode 8 (Validasi Pembatalan) dengan NIE status filter. DB 42.
--- JAWABAN UTUH SISTEM (verbatim, tanpa pemotongan) ---
Jumlah produk **Menengah Rendah (MR)** dengan status komitmen **Validasi Pembatalan** adalah **42 produk**.
Berikut adalah rincian jumlah produk tersebut berdasarkan tahun pembayaran (`tanggal_bayar`):
| Tahun | Jumlah Produk |
| :--- | :--- |
| 2022 | 1 |
| 2024 | 19 |
| 2025 | 22 |
| **Total** | **42** |
**Catatan Metadata:**
- **Sistem:** ERBA (E-Registrasi Baru), karena fitur komitmen hanya tersedia di sistem ini.
- **Definisi MR:** Kategori risiko Menengah Rendah (kode `303`).
- **Definisi Status:** Status komitmen "Validasi Pembatalan" (kode `8`) merupakan tahap transien dalam proses pembatalan komitmen.
- **Metode Hitung:** Menggunakan `COUNT(DISTINCT produk_id)` untuk menghitung jumlah permohonan unik. Akun uji coba telah dikecualikan dari perhitungan.</f>
        <v/>
      </c>
      <c r="H17" s="3" t="inlineStr">
        <is>
          <t>Sistem benar di test (42=DB). Live 15 Jun=32 sedikit di bawah, kemungkinan beda cutoff tanggal/akun uji.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6" customWidth="1" min="1" max="1"/>
    <col width="70" customWidth="1" min="2" max="2"/>
  </cols>
  <sheetData>
    <row r="1">
      <c r="A1" s="7" t="inlineStr">
        <is>
          <t>Metrik</t>
        </is>
      </c>
      <c r="B1" s="7" t="inlineStr">
        <is>
          <t>Nilai</t>
        </is>
      </c>
    </row>
    <row r="2">
      <c r="A2" s="8" t="inlineStr">
        <is>
          <t>Total pertanyaan (spreadsheet)</t>
        </is>
      </c>
      <c r="B2" s="8" t="n">
        <v>16</v>
      </c>
    </row>
    <row r="3">
      <c r="A3" s="8" t="inlineStr">
        <is>
          <t>Exact match (skenario test persis)</t>
        </is>
      </c>
      <c r="B3" s="8" t="n">
        <v>10</v>
      </c>
    </row>
    <row r="4">
      <c r="A4" s="8" t="inlineStr">
        <is>
          <t>Mirip terdekat (bukan exact, diisi jawaban skenario mirip)</t>
        </is>
      </c>
      <c r="B4" s="8" t="n">
        <v>6</v>
      </c>
    </row>
    <row r="5">
      <c r="A5" s="8" t="inlineStr">
        <is>
          <t>Test verdict PASS</t>
        </is>
      </c>
      <c r="B5" s="8" t="n">
        <v>8</v>
      </c>
    </row>
    <row r="6">
      <c r="A6" s="8" t="inlineStr">
        <is>
          <t>Test verdict FAIL</t>
        </is>
      </c>
      <c r="B6" s="8" t="n">
        <v>8</v>
      </c>
    </row>
    <row r="7">
      <c r="A7" s="8" t="inlineStr"/>
      <c r="B7" s="8" t="inlineStr"/>
    </row>
    <row r="8">
      <c r="A8" s="8" t="inlineStr">
        <is>
          <t>Legenda warna kolom "Testing oleh CBN"</t>
        </is>
      </c>
      <c r="B8" s="8" t="inlineStr"/>
    </row>
    <row r="9">
      <c r="A9" s="8" t="inlineStr">
        <is>
          <t>Hijau</t>
        </is>
      </c>
      <c r="B9" s="8" t="inlineStr">
        <is>
          <t>exact match + sistem PASS</t>
        </is>
      </c>
    </row>
    <row r="10">
      <c r="A10" s="8" t="inlineStr">
        <is>
          <t>Merah</t>
        </is>
      </c>
      <c r="B10" s="8" t="inlineStr">
        <is>
          <t>exact match + sistem FAIL</t>
        </is>
      </c>
    </row>
    <row r="11">
      <c r="A11" s="8" t="inlineStr">
        <is>
          <t>Oranye</t>
        </is>
      </c>
      <c r="B11" s="8" t="inlineStr">
        <is>
          <t>bukan exact match (mirip terdekat) — lihat penanda [MIRIP TERDEKAT] di sel</t>
        </is>
      </c>
    </row>
    <row r="12">
      <c r="A12" s="8" t="inlineStr"/>
      <c r="B12" s="8" t="inlineStr"/>
    </row>
    <row r="13">
      <c r="A13" s="8" t="inlineStr">
        <is>
          <t>Catatan penting</t>
        </is>
      </c>
      <c r="B13" s="8" t="inlineStr"/>
    </row>
    <row r="14">
      <c r="A14" s="8" t="inlineStr">
        <is>
          <t>Q2 = FALSE PASS</t>
        </is>
      </c>
      <c r="B14" s="8" t="inlineStr">
        <is>
          <t>Harness PASS tapi angka salah (DB: 2024=2.667, 2025=2.533)</t>
        </is>
      </c>
    </row>
    <row r="15">
      <c r="A15" s="8" t="inlineStr">
        <is>
          <t>Divergensi 3-sumber</t>
        </is>
      </c>
      <c r="B15" s="8" t="inlineStr">
        <is>
          <t>Q3, Q4, Q5: angka beda antara live(15 Jun) / test(19 Jun) / DB</t>
        </is>
      </c>
    </row>
    <row r="16">
      <c r="A16" s="8" t="inlineStr">
        <is>
          <t>Sumber jawaban</t>
        </is>
      </c>
      <c r="B16" s="8" t="inlineStr">
        <is>
          <t>JSON test: seeknal-bpom-neo/seeknal/tests/outputs/2026-06-19/v1/</t>
        </is>
      </c>
    </row>
    <row r="17">
      <c r="A17" s="8" t="inlineStr">
        <is>
          <t>Analisis root-cause</t>
        </is>
      </c>
      <c r="B17" s="8" t="inlineStr">
        <is>
          <t>uat_test_results_analysis_19jun2026.md (Class 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2026-06-26T03:16:13Z</dcterms:created>
  <dcterms:modified xmlns:dcterms="http://purl.org/dc/terms/" xmlns:xsi="http://www.w3.org/2001/XMLSchema-instance" xsi:type="dcterms:W3CDTF">2026-06-26T03:16:13Z</dcterms:modified>
</cp:coreProperties>
</file>